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showObjects="none"/>
  <mc:AlternateContent xmlns:mc="http://schemas.openxmlformats.org/markup-compatibility/2006">
    <mc:Choice Requires="x15">
      <x15ac:absPath xmlns:x15ac="http://schemas.microsoft.com/office/spreadsheetml/2010/11/ac" url="/Users/zhan/Lukyanov_d_9Be/"/>
    </mc:Choice>
  </mc:AlternateContent>
  <bookViews>
    <workbookView xWindow="920" yWindow="440" windowWidth="24160" windowHeight="14520" tabRatio="500"/>
  </bookViews>
  <sheets>
    <sheet name="Лист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" i="1"/>
</calcChain>
</file>

<file path=xl/sharedStrings.xml><?xml version="1.0" encoding="utf-8"?>
<sst xmlns="http://schemas.openxmlformats.org/spreadsheetml/2006/main" count="17" uniqueCount="10">
  <si>
    <t>15.8 MeV d+9Be elastic scattering Data</t>
  </si>
  <si>
    <t>COWLEY</t>
  </si>
  <si>
    <t>27.97 MeV d+9Be elastic scattering Data</t>
  </si>
  <si>
    <t>OOTHOUDT</t>
  </si>
  <si>
    <t>Theta_cm,(dg)</t>
  </si>
  <si>
    <t>dS/dW, (mb/sr)</t>
  </si>
  <si>
    <t>abs error</t>
  </si>
  <si>
    <t>dS/dSR, ()</t>
  </si>
  <si>
    <t>FITZ</t>
  </si>
  <si>
    <t>11.8 MeV d+9Be elastic scattering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</si>
</sst>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5" formatCode="0.0000"/>
    <numFmt numFmtId="166" formatCode="0.0000E+00"/>
    <numFmt numFmtId="169" formatCode="0.000E+00"/>
    <numFmt numFmtId="170" formatCode="0.00000E+00"/>
    <numFmt numFmtId="171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tabSelected="1" showRuler="0" workbookViewId="0">
      <selection activeCell="C7" sqref="C7"/>
    </sheetView>
  </sheetViews>
  <sheetFormatPr baseColWidth="10" defaultRowHeight="16" x14ac:dyDescent="0.2"/>
  <cols>
    <col min="1" max="1" width="12.83203125" customWidth="1"/>
    <col min="2" max="2" width="15.1640625" customWidth="1"/>
    <col min="6" max="6" width="14.33203125" customWidth="1"/>
    <col min="7" max="7" width="14.83203125" customWidth="1"/>
    <col min="11" max="11" width="10.83203125" style="7"/>
    <col min="12" max="12" width="14.6640625" customWidth="1"/>
    <col min="13" max="13" width="11.6640625" style="6" bestFit="1" customWidth="1"/>
  </cols>
  <sheetData>
    <row r="1" spans="1:14" x14ac:dyDescent="0.2">
      <c r="A1" t="s">
        <v>0</v>
      </c>
      <c r="F1" t="s">
        <v>2</v>
      </c>
      <c r="K1" s="7" t="s">
        <v>9</v>
      </c>
    </row>
    <row r="2" spans="1:14" x14ac:dyDescent="0.2">
      <c r="A2" t="s">
        <v>1</v>
      </c>
      <c r="F2" t="s">
        <v>3</v>
      </c>
      <c r="K2" s="7" t="s">
        <v>8</v>
      </c>
    </row>
    <row r="3" spans="1:14" x14ac:dyDescent="0.2">
      <c r="A3" t="s">
        <v>4</v>
      </c>
      <c r="B3" t="s">
        <v>5</v>
      </c>
      <c r="C3" t="s">
        <v>6</v>
      </c>
      <c r="F3" t="s">
        <v>4</v>
      </c>
      <c r="G3" t="s">
        <v>7</v>
      </c>
      <c r="H3" t="s">
        <v>5</v>
      </c>
      <c r="I3" t="s">
        <v>6</v>
      </c>
      <c r="K3" s="7" t="s">
        <v>4</v>
      </c>
      <c r="L3" t="s">
        <v>7</v>
      </c>
      <c r="M3" s="6" t="s">
        <v>5</v>
      </c>
      <c r="N3" t="s">
        <v>6</v>
      </c>
    </row>
    <row r="4" spans="1:14" x14ac:dyDescent="0.2">
      <c r="A4" s="1">
        <v>6.9960000000000004</v>
      </c>
      <c r="B4" s="1">
        <v>7363.51</v>
      </c>
      <c r="C4" s="1">
        <f>B4/10</f>
        <v>736.351</v>
      </c>
      <c r="F4" s="2">
        <v>7.5098789999999997</v>
      </c>
      <c r="G4" s="3">
        <v>1.4312130000000001</v>
      </c>
      <c r="H4" s="3">
        <f>(1*4*1.44/27.97/4/SIN(F4/2/180*3.14)/SIN(F4/2/180*3.14))^2*10*G4</f>
        <v>2066.5523709969239</v>
      </c>
      <c r="I4" s="1">
        <f>H4*0.1</f>
        <v>206.65523709969239</v>
      </c>
      <c r="K4" s="7">
        <v>24.31889</v>
      </c>
      <c r="L4" s="1">
        <v>3.3567999999999998</v>
      </c>
      <c r="M4" s="6">
        <f>(1*4*1.44/27.97/4/SIN(K4/2/180*3.14)/SIN(K4/2/180*3.14))^2*10*L4</f>
        <v>45.292703188363468</v>
      </c>
      <c r="N4" s="1">
        <f>M4*0.1</f>
        <v>4.529270318836347</v>
      </c>
    </row>
    <row r="5" spans="1:14" x14ac:dyDescent="0.2">
      <c r="A5" s="1">
        <v>8.6630000000000003</v>
      </c>
      <c r="B5" s="1">
        <v>3193.57</v>
      </c>
      <c r="C5" s="1">
        <f t="shared" ref="C5:C44" si="0">B5/10</f>
        <v>319.35700000000003</v>
      </c>
      <c r="F5" s="2">
        <v>10.569739999999999</v>
      </c>
      <c r="G5" s="3">
        <v>4.3516339999999998</v>
      </c>
      <c r="H5" s="3">
        <f t="shared" ref="H5:H22" si="1">(1*4*1.44/27.97/4/SIN(F5/2/180*3.14)/SIN(F5/2/180*3.14))^2*10*G5</f>
        <v>1605.7876049495858</v>
      </c>
      <c r="I5" s="1">
        <f t="shared" ref="I5:I22" si="2">H5*0.1</f>
        <v>160.5787604949586</v>
      </c>
      <c r="K5" s="7">
        <v>26.457979999999999</v>
      </c>
      <c r="L5" s="1">
        <v>4.0961740000000004</v>
      </c>
      <c r="M5" s="6">
        <f t="shared" ref="M5:M44" si="3">(1*4*1.44/27.97/4/SIN(K5/2/180*3.14)/SIN(K5/2/180*3.14))^2*10*L5</f>
        <v>39.667035828523922</v>
      </c>
      <c r="N5" s="1">
        <f t="shared" ref="N5:N44" si="4">M5*0.1</f>
        <v>3.9667035828523924</v>
      </c>
    </row>
    <row r="6" spans="1:14" x14ac:dyDescent="0.2">
      <c r="A6" s="1">
        <v>11.91</v>
      </c>
      <c r="B6" s="1">
        <v>2109.0700000000002</v>
      </c>
      <c r="C6" s="1">
        <f t="shared" si="0"/>
        <v>210.90700000000001</v>
      </c>
      <c r="F6" s="2">
        <v>14.61687</v>
      </c>
      <c r="G6" s="3">
        <v>7.7947220000000002</v>
      </c>
      <c r="H6" s="3">
        <f t="shared" si="1"/>
        <v>790.53873220392268</v>
      </c>
      <c r="I6" s="1">
        <f t="shared" si="2"/>
        <v>79.053873220392276</v>
      </c>
      <c r="K6" s="7">
        <v>28.370090000000001</v>
      </c>
      <c r="L6" s="1">
        <v>3.9473419999999999</v>
      </c>
      <c r="M6" s="6">
        <f t="shared" si="3"/>
        <v>29.07087194970331</v>
      </c>
      <c r="N6" s="1">
        <f t="shared" si="4"/>
        <v>2.9070871949703312</v>
      </c>
    </row>
    <row r="7" spans="1:14" x14ac:dyDescent="0.2">
      <c r="A7" s="1">
        <v>15.16</v>
      </c>
      <c r="B7" s="1">
        <v>1442.3</v>
      </c>
      <c r="C7" s="1">
        <f t="shared" si="0"/>
        <v>144.22999999999999</v>
      </c>
      <c r="F7" s="2">
        <v>18.091809999999999</v>
      </c>
      <c r="G7" s="3">
        <v>10.857239999999999</v>
      </c>
      <c r="H7" s="3">
        <f t="shared" si="1"/>
        <v>471.88744745094766</v>
      </c>
      <c r="I7" s="1">
        <f t="shared" si="2"/>
        <v>47.188744745094766</v>
      </c>
      <c r="K7" s="7">
        <v>31.481079999999999</v>
      </c>
      <c r="L7" s="1">
        <v>3.4445950000000001</v>
      </c>
      <c r="M7" s="6">
        <f t="shared" si="3"/>
        <v>16.891021126959473</v>
      </c>
      <c r="N7" s="1">
        <f t="shared" si="4"/>
        <v>1.6891021126959473</v>
      </c>
    </row>
    <row r="8" spans="1:14" x14ac:dyDescent="0.2">
      <c r="A8" s="1">
        <v>18.399999999999999</v>
      </c>
      <c r="B8" s="1">
        <v>1057.6099999999999</v>
      </c>
      <c r="C8" s="1">
        <f t="shared" si="0"/>
        <v>105.761</v>
      </c>
      <c r="F8" s="2">
        <v>21.781559999999999</v>
      </c>
      <c r="G8" s="3">
        <v>8.3377549999999996</v>
      </c>
      <c r="H8" s="3">
        <f t="shared" si="1"/>
        <v>173.77507608594527</v>
      </c>
      <c r="I8" s="1">
        <f t="shared" si="2"/>
        <v>17.377507608594527</v>
      </c>
      <c r="K8" s="7">
        <v>33.646259999999998</v>
      </c>
      <c r="L8" s="1">
        <v>2.4945050000000002</v>
      </c>
      <c r="M8" s="6">
        <f t="shared" si="3"/>
        <v>9.4422674745630513</v>
      </c>
      <c r="N8" s="1">
        <f t="shared" si="4"/>
        <v>0.94422674745630519</v>
      </c>
    </row>
    <row r="9" spans="1:14" x14ac:dyDescent="0.2">
      <c r="A9" s="1">
        <v>21.11</v>
      </c>
      <c r="B9" s="1">
        <v>674.09</v>
      </c>
      <c r="C9" s="1">
        <f t="shared" si="0"/>
        <v>67.409000000000006</v>
      </c>
      <c r="F9" s="2">
        <v>25.48021</v>
      </c>
      <c r="G9" s="3">
        <v>4.9795610000000003</v>
      </c>
      <c r="H9" s="3">
        <f t="shared" si="1"/>
        <v>55.915819725297624</v>
      </c>
      <c r="I9" s="1">
        <f t="shared" si="2"/>
        <v>5.5915819725297631</v>
      </c>
      <c r="K9" s="7">
        <v>36.524059999999999</v>
      </c>
      <c r="L9" s="1">
        <v>1.9464589999999999</v>
      </c>
      <c r="M9" s="6">
        <f t="shared" si="3"/>
        <v>5.3609802798280111</v>
      </c>
      <c r="N9" s="1">
        <f t="shared" si="4"/>
        <v>0.53609802798280115</v>
      </c>
    </row>
    <row r="10" spans="1:14" x14ac:dyDescent="0.2">
      <c r="A10" s="1">
        <v>24.09</v>
      </c>
      <c r="B10" s="1">
        <v>429.78</v>
      </c>
      <c r="C10" s="1">
        <f t="shared" si="0"/>
        <v>42.977999999999994</v>
      </c>
      <c r="F10" s="2">
        <v>29.59301</v>
      </c>
      <c r="G10" s="3">
        <v>1.3989339999999999</v>
      </c>
      <c r="H10" s="3">
        <f t="shared" si="1"/>
        <v>8.7338323650732423</v>
      </c>
      <c r="I10" s="1">
        <f t="shared" si="2"/>
        <v>0.8733832365073243</v>
      </c>
      <c r="K10" s="7">
        <v>39.171770000000002</v>
      </c>
      <c r="L10" s="1">
        <v>1.276311</v>
      </c>
      <c r="M10" s="6">
        <f t="shared" si="3"/>
        <v>2.6842681715221368</v>
      </c>
      <c r="N10" s="1">
        <f t="shared" si="4"/>
        <v>0.26842681715221367</v>
      </c>
    </row>
    <row r="11" spans="1:14" x14ac:dyDescent="0.2">
      <c r="A11" s="1">
        <v>27.08</v>
      </c>
      <c r="B11" s="1">
        <v>255.548</v>
      </c>
      <c r="C11" s="1">
        <f t="shared" si="0"/>
        <v>25.5548</v>
      </c>
      <c r="F11" s="2">
        <v>32.499969999999998</v>
      </c>
      <c r="G11" s="3">
        <v>1.345135</v>
      </c>
      <c r="H11" s="3">
        <f t="shared" si="1"/>
        <v>5.826311223217127</v>
      </c>
      <c r="I11" s="1">
        <f t="shared" si="2"/>
        <v>0.58263112232171277</v>
      </c>
      <c r="K11" s="7">
        <v>41.341920000000002</v>
      </c>
      <c r="L11" s="1">
        <v>0.83683459999999998</v>
      </c>
      <c r="M11" s="6">
        <f t="shared" si="3"/>
        <v>1.4312645078590498</v>
      </c>
      <c r="N11" s="1">
        <f t="shared" si="4"/>
        <v>0.143126450785905</v>
      </c>
    </row>
    <row r="12" spans="1:14" x14ac:dyDescent="0.2">
      <c r="A12" s="1">
        <v>30.08</v>
      </c>
      <c r="B12" s="1">
        <v>123.252</v>
      </c>
      <c r="C12" s="1">
        <f t="shared" si="0"/>
        <v>12.325199999999999</v>
      </c>
      <c r="F12" s="2">
        <v>36.32667</v>
      </c>
      <c r="G12" s="3">
        <v>5.1222849999999998</v>
      </c>
      <c r="H12" s="3">
        <f t="shared" si="1"/>
        <v>14.406471644221517</v>
      </c>
      <c r="I12" s="1">
        <f t="shared" si="2"/>
        <v>1.4406471644221517</v>
      </c>
      <c r="K12" s="7">
        <v>43.497790000000002</v>
      </c>
      <c r="L12" s="1">
        <v>0.73015799999999997</v>
      </c>
      <c r="M12" s="6">
        <f t="shared" si="3"/>
        <v>1.028624677085721</v>
      </c>
      <c r="N12" s="1">
        <f t="shared" si="4"/>
        <v>0.1028624677085721</v>
      </c>
    </row>
    <row r="13" spans="1:14" x14ac:dyDescent="0.2">
      <c r="A13" s="1">
        <v>33.11</v>
      </c>
      <c r="B13" s="1">
        <v>37.770600000000002</v>
      </c>
      <c r="C13" s="1">
        <f t="shared" si="0"/>
        <v>3.7770600000000001</v>
      </c>
      <c r="F13" s="2">
        <v>39.97936</v>
      </c>
      <c r="G13" s="3">
        <v>11.188840000000001</v>
      </c>
      <c r="H13" s="3">
        <f t="shared" si="1"/>
        <v>21.758210640210301</v>
      </c>
      <c r="I13" s="1">
        <f t="shared" si="2"/>
        <v>2.1758210640210303</v>
      </c>
      <c r="K13" s="7">
        <v>46.351979999999998</v>
      </c>
      <c r="L13" s="1">
        <v>0.91348779999999996</v>
      </c>
      <c r="M13" s="6">
        <f t="shared" si="3"/>
        <v>1.0112205189180559</v>
      </c>
      <c r="N13" s="1">
        <f t="shared" si="4"/>
        <v>0.10112205189180559</v>
      </c>
    </row>
    <row r="14" spans="1:14" x14ac:dyDescent="0.2">
      <c r="A14" s="1">
        <v>35.85</v>
      </c>
      <c r="B14" s="1">
        <v>16.401599999999998</v>
      </c>
      <c r="C14" s="1">
        <f t="shared" si="0"/>
        <v>1.6401599999999998</v>
      </c>
      <c r="F14" s="2">
        <v>43.065019999999997</v>
      </c>
      <c r="G14" s="3">
        <v>16.430959999999999</v>
      </c>
      <c r="H14" s="3">
        <f t="shared" si="1"/>
        <v>24.045847139767776</v>
      </c>
      <c r="I14" s="1">
        <f t="shared" si="2"/>
        <v>2.404584713976778</v>
      </c>
      <c r="K14" s="7">
        <v>48.959310000000002</v>
      </c>
      <c r="L14" s="1">
        <v>1.3431200000000001</v>
      </c>
      <c r="M14" s="6">
        <f t="shared" si="3"/>
        <v>1.209839849167798</v>
      </c>
      <c r="N14" s="1">
        <f t="shared" si="4"/>
        <v>0.12098398491677981</v>
      </c>
    </row>
    <row r="15" spans="1:14" x14ac:dyDescent="0.2">
      <c r="A15" s="1">
        <v>38.85</v>
      </c>
      <c r="B15" s="1">
        <v>7.91059</v>
      </c>
      <c r="C15" s="1">
        <f t="shared" si="0"/>
        <v>0.79105899999999996</v>
      </c>
      <c r="F15" s="2">
        <v>47.127160000000003</v>
      </c>
      <c r="G15" s="3">
        <v>19.271519999999999</v>
      </c>
      <c r="H15" s="3">
        <f t="shared" si="1"/>
        <v>20.0383180492957</v>
      </c>
      <c r="I15" s="1">
        <f t="shared" si="2"/>
        <v>2.00383180492957</v>
      </c>
      <c r="K15" s="7">
        <v>51.090949999999999</v>
      </c>
      <c r="L15" s="1">
        <v>1.9024460000000001</v>
      </c>
      <c r="M15" s="6">
        <f t="shared" si="3"/>
        <v>1.4609960441540177</v>
      </c>
      <c r="N15" s="1">
        <f t="shared" si="4"/>
        <v>0.14609960441540179</v>
      </c>
    </row>
    <row r="16" spans="1:14" x14ac:dyDescent="0.2">
      <c r="A16" s="1">
        <v>42.05</v>
      </c>
      <c r="B16" s="1">
        <v>10.1366</v>
      </c>
      <c r="C16" s="1">
        <f t="shared" si="0"/>
        <v>1.01366</v>
      </c>
      <c r="F16" s="2">
        <v>50.613819999999997</v>
      </c>
      <c r="G16" s="3">
        <v>19.282640000000001</v>
      </c>
      <c r="H16" s="3">
        <f t="shared" si="1"/>
        <v>15.336260759107846</v>
      </c>
      <c r="I16" s="1">
        <f t="shared" si="2"/>
        <v>1.5336260759107847</v>
      </c>
      <c r="K16" s="7">
        <v>52.745019999999997</v>
      </c>
      <c r="L16" s="1">
        <v>2.6945229999999998</v>
      </c>
      <c r="M16" s="6">
        <f t="shared" si="3"/>
        <v>1.8378266235543066</v>
      </c>
      <c r="N16" s="1">
        <f t="shared" si="4"/>
        <v>0.18378266235543067</v>
      </c>
    </row>
    <row r="17" spans="1:14" x14ac:dyDescent="0.2">
      <c r="A17" s="1">
        <v>45.24</v>
      </c>
      <c r="B17" s="1">
        <v>17.170400000000001</v>
      </c>
      <c r="C17" s="1">
        <f t="shared" si="0"/>
        <v>1.7170400000000001</v>
      </c>
      <c r="F17" s="2">
        <v>54.299349999999997</v>
      </c>
      <c r="G17" s="3">
        <v>16.680800000000001</v>
      </c>
      <c r="H17" s="3">
        <f t="shared" si="1"/>
        <v>10.216592310781401</v>
      </c>
      <c r="I17" s="1">
        <f t="shared" si="2"/>
        <v>1.0216592310781401</v>
      </c>
      <c r="K17" s="7">
        <v>53.69455</v>
      </c>
      <c r="L17" s="1">
        <v>3.0136780000000001</v>
      </c>
      <c r="M17" s="6">
        <f t="shared" si="3"/>
        <v>1.9239037252494973</v>
      </c>
      <c r="N17" s="1">
        <f t="shared" si="4"/>
        <v>0.19239037252494973</v>
      </c>
    </row>
    <row r="18" spans="1:14" x14ac:dyDescent="0.2">
      <c r="A18" s="1">
        <v>47.9</v>
      </c>
      <c r="B18" s="1">
        <v>21.234500000000001</v>
      </c>
      <c r="C18" s="1">
        <f t="shared" si="0"/>
        <v>2.1234500000000001</v>
      </c>
      <c r="F18" s="2">
        <v>57.210999999999999</v>
      </c>
      <c r="G18" s="3">
        <v>14.051349999999999</v>
      </c>
      <c r="H18" s="3">
        <f t="shared" si="1"/>
        <v>7.1012470377252654</v>
      </c>
      <c r="I18" s="1">
        <f t="shared" si="2"/>
        <v>0.71012470377252657</v>
      </c>
      <c r="K18" s="7">
        <v>55.361049999999999</v>
      </c>
      <c r="L18" s="1">
        <v>3.329342</v>
      </c>
      <c r="M18" s="6">
        <f t="shared" si="3"/>
        <v>1.8985118082268233</v>
      </c>
      <c r="N18" s="1">
        <f t="shared" si="4"/>
        <v>0.18985118082268235</v>
      </c>
    </row>
    <row r="19" spans="1:14" x14ac:dyDescent="0.2">
      <c r="A19" s="1">
        <v>50.85</v>
      </c>
      <c r="B19" s="1">
        <v>24.4983</v>
      </c>
      <c r="C19" s="1">
        <f t="shared" si="0"/>
        <v>2.44983</v>
      </c>
      <c r="F19" s="2">
        <v>61.087879999999998</v>
      </c>
      <c r="G19" s="3">
        <v>12.987209999999999</v>
      </c>
      <c r="H19" s="3">
        <f t="shared" si="1"/>
        <v>5.1703099328543267</v>
      </c>
      <c r="I19" s="1">
        <f t="shared" si="2"/>
        <v>0.51703099328543267</v>
      </c>
      <c r="K19" s="7">
        <v>57.498280000000001</v>
      </c>
      <c r="L19" s="1">
        <v>4.2169410000000003</v>
      </c>
      <c r="M19" s="6">
        <f t="shared" si="3"/>
        <v>2.0924307803667759</v>
      </c>
      <c r="N19" s="1">
        <f t="shared" si="4"/>
        <v>0.2092430780366776</v>
      </c>
    </row>
    <row r="20" spans="1:14" x14ac:dyDescent="0.2">
      <c r="A20" s="1">
        <v>54.06</v>
      </c>
      <c r="B20" s="1">
        <v>24.5901</v>
      </c>
      <c r="C20" s="1">
        <f t="shared" si="0"/>
        <v>2.4590100000000001</v>
      </c>
      <c r="F20" s="2">
        <v>63.218620000000001</v>
      </c>
      <c r="G20" s="3">
        <v>12.99179</v>
      </c>
      <c r="H20" s="3">
        <f t="shared" si="1"/>
        <v>4.5715300917043216</v>
      </c>
      <c r="I20" s="1">
        <f t="shared" si="2"/>
        <v>0.45715300917043217</v>
      </c>
      <c r="K20" s="7">
        <v>59.640470000000001</v>
      </c>
      <c r="L20" s="1">
        <v>4.8358569999999999</v>
      </c>
      <c r="M20" s="6">
        <f t="shared" si="3"/>
        <v>2.0999457332461113</v>
      </c>
      <c r="N20" s="1">
        <f t="shared" si="4"/>
        <v>0.20999457332461113</v>
      </c>
    </row>
    <row r="21" spans="1:14" x14ac:dyDescent="0.2">
      <c r="A21" s="1">
        <v>56.49</v>
      </c>
      <c r="B21" s="1">
        <v>20.712199999999999</v>
      </c>
      <c r="C21" s="1">
        <f t="shared" si="0"/>
        <v>2.0712199999999998</v>
      </c>
      <c r="F21" s="2">
        <v>70.953630000000004</v>
      </c>
      <c r="G21" s="3">
        <v>18.842300000000002</v>
      </c>
      <c r="H21" s="3">
        <f t="shared" si="1"/>
        <v>4.4097010295439887</v>
      </c>
      <c r="I21" s="1">
        <f t="shared" si="2"/>
        <v>0.44097010295439887</v>
      </c>
      <c r="K21" s="7">
        <v>61.54824</v>
      </c>
      <c r="L21" s="1">
        <v>5.0835549999999996</v>
      </c>
      <c r="M21" s="6">
        <f t="shared" si="3"/>
        <v>1.9696716348156202</v>
      </c>
      <c r="N21" s="1">
        <f t="shared" si="4"/>
        <v>0.19696716348156204</v>
      </c>
    </row>
    <row r="22" spans="1:14" x14ac:dyDescent="0.2">
      <c r="A22" s="1">
        <v>59.99</v>
      </c>
      <c r="B22" s="1">
        <v>17.467600000000001</v>
      </c>
      <c r="C22" s="1">
        <f t="shared" si="0"/>
        <v>1.7467600000000001</v>
      </c>
      <c r="F22" s="2">
        <v>77.728560000000002</v>
      </c>
      <c r="G22" s="3">
        <v>21.53219</v>
      </c>
      <c r="H22" s="3">
        <f t="shared" si="1"/>
        <v>3.6878772398728397</v>
      </c>
      <c r="I22" s="1">
        <f t="shared" si="2"/>
        <v>0.36878772398728399</v>
      </c>
      <c r="K22" s="7">
        <v>66.081969999999998</v>
      </c>
      <c r="L22" s="1">
        <v>5.4126719999999997</v>
      </c>
      <c r="M22" s="6">
        <f t="shared" si="3"/>
        <v>1.626244209378602</v>
      </c>
      <c r="N22" s="1">
        <f t="shared" si="4"/>
        <v>0.16262442093786023</v>
      </c>
    </row>
    <row r="23" spans="1:14" x14ac:dyDescent="0.2">
      <c r="A23" s="1">
        <v>62.69</v>
      </c>
      <c r="B23" s="1">
        <v>12.800599999999999</v>
      </c>
      <c r="C23" s="1">
        <f t="shared" si="0"/>
        <v>1.28006</v>
      </c>
      <c r="K23" s="7">
        <v>71.578289999999996</v>
      </c>
      <c r="L23" s="1">
        <v>4.9655509999999996</v>
      </c>
      <c r="M23" s="6">
        <f t="shared" si="3"/>
        <v>1.1272738828291429</v>
      </c>
      <c r="N23" s="1">
        <f t="shared" si="4"/>
        <v>0.11272738828291429</v>
      </c>
    </row>
    <row r="24" spans="1:14" x14ac:dyDescent="0.2">
      <c r="A24" s="1">
        <v>65.67</v>
      </c>
      <c r="B24" s="1">
        <v>9.0617300000000007</v>
      </c>
      <c r="C24" s="1">
        <f t="shared" si="0"/>
        <v>0.90617300000000012</v>
      </c>
      <c r="K24" s="7">
        <v>76.363849999999999</v>
      </c>
      <c r="L24" s="1">
        <v>4.0730750000000002</v>
      </c>
      <c r="M24" s="6">
        <f t="shared" si="3"/>
        <v>0.7406348274004414</v>
      </c>
      <c r="N24" s="1">
        <f t="shared" si="4"/>
        <v>7.4063482740044137E-2</v>
      </c>
    </row>
    <row r="25" spans="1:14" x14ac:dyDescent="0.2">
      <c r="A25" s="1">
        <v>68.12</v>
      </c>
      <c r="B25" s="1">
        <v>5.0218699999999998</v>
      </c>
      <c r="C25" s="1">
        <f t="shared" si="0"/>
        <v>0.50218699999999994</v>
      </c>
      <c r="F25" s="1"/>
      <c r="G25" s="2">
        <v>7.5098789999999997</v>
      </c>
      <c r="H25" s="4">
        <v>2066.5523709969239</v>
      </c>
      <c r="I25" s="1">
        <v>206.65523709969239</v>
      </c>
      <c r="K25" s="7">
        <v>82.338340000000002</v>
      </c>
      <c r="L25" s="1">
        <v>3.6907179999999999</v>
      </c>
      <c r="M25" s="6">
        <f t="shared" si="3"/>
        <v>0.52181947542192431</v>
      </c>
      <c r="N25" s="1">
        <f t="shared" si="4"/>
        <v>5.2181947542192436E-2</v>
      </c>
    </row>
    <row r="26" spans="1:14" x14ac:dyDescent="0.2">
      <c r="A26" s="1">
        <v>71.62</v>
      </c>
      <c r="B26" s="1">
        <v>4.0899799999999997</v>
      </c>
      <c r="C26" s="1">
        <f t="shared" si="0"/>
        <v>0.40899799999999997</v>
      </c>
      <c r="F26" s="1"/>
      <c r="G26" s="2">
        <v>10.569739999999999</v>
      </c>
      <c r="H26" s="4">
        <v>1605.7876049495858</v>
      </c>
      <c r="I26" s="1">
        <v>160.5787604949586</v>
      </c>
      <c r="K26" s="7">
        <v>87.345910000000003</v>
      </c>
      <c r="L26" s="1">
        <v>4.2340450000000001</v>
      </c>
      <c r="M26" s="6">
        <f t="shared" si="3"/>
        <v>0.49435717969438292</v>
      </c>
      <c r="N26" s="1">
        <f t="shared" si="4"/>
        <v>4.9435717969438298E-2</v>
      </c>
    </row>
    <row r="27" spans="1:14" x14ac:dyDescent="0.2">
      <c r="A27" s="1">
        <v>76.930000000000007</v>
      </c>
      <c r="B27" s="1">
        <v>3.4846499999999998</v>
      </c>
      <c r="C27" s="1">
        <f t="shared" si="0"/>
        <v>0.34846499999999997</v>
      </c>
      <c r="F27" s="1"/>
      <c r="G27" s="2">
        <v>14.61687</v>
      </c>
      <c r="H27" s="4">
        <v>790.53873220392268</v>
      </c>
      <c r="I27" s="1">
        <v>79.053873220392276</v>
      </c>
      <c r="K27" s="7">
        <v>92.350380000000001</v>
      </c>
      <c r="L27" s="1">
        <v>5.1686509999999997</v>
      </c>
      <c r="M27" s="6">
        <f t="shared" si="3"/>
        <v>0.50646406056903714</v>
      </c>
      <c r="N27" s="1">
        <f t="shared" si="4"/>
        <v>5.0646406056903716E-2</v>
      </c>
    </row>
    <row r="28" spans="1:14" x14ac:dyDescent="0.2">
      <c r="A28" s="1">
        <v>82.37</v>
      </c>
      <c r="B28" s="1">
        <v>4.5493899999999998</v>
      </c>
      <c r="C28" s="1">
        <f t="shared" si="0"/>
        <v>0.45493899999999998</v>
      </c>
      <c r="F28" s="1"/>
      <c r="G28" s="2">
        <v>18.091809999999999</v>
      </c>
      <c r="H28" s="4">
        <v>471.88744745094766</v>
      </c>
      <c r="I28" s="1">
        <v>47.188744745094766</v>
      </c>
      <c r="K28" s="7">
        <v>97.594239999999999</v>
      </c>
      <c r="L28" s="1">
        <v>6.2318579999999999</v>
      </c>
      <c r="M28" s="6">
        <f t="shared" si="3"/>
        <v>0.51625164089418818</v>
      </c>
      <c r="N28" s="1">
        <f t="shared" si="4"/>
        <v>5.1625164089418821E-2</v>
      </c>
    </row>
    <row r="29" spans="1:14" x14ac:dyDescent="0.2">
      <c r="A29" s="1">
        <v>87.27</v>
      </c>
      <c r="B29" s="1">
        <v>5.3996599999999999</v>
      </c>
      <c r="C29" s="1">
        <f t="shared" si="0"/>
        <v>0.53996599999999995</v>
      </c>
      <c r="F29" s="1"/>
      <c r="G29" s="2">
        <v>21.781559999999999</v>
      </c>
      <c r="H29" s="4">
        <v>173.77507608594527</v>
      </c>
      <c r="I29" s="1">
        <v>17.377507608594527</v>
      </c>
      <c r="K29" s="7">
        <v>103.08369999999999</v>
      </c>
      <c r="L29" s="1">
        <v>6.5542439999999997</v>
      </c>
      <c r="M29" s="6">
        <f t="shared" si="3"/>
        <v>0.46270708457600812</v>
      </c>
      <c r="N29" s="1">
        <f t="shared" si="4"/>
        <v>4.6270708457600812E-2</v>
      </c>
    </row>
    <row r="30" spans="1:14" x14ac:dyDescent="0.2">
      <c r="A30" s="1">
        <v>92.55</v>
      </c>
      <c r="B30" s="1">
        <v>5.4328900000000004</v>
      </c>
      <c r="C30" s="1">
        <f t="shared" si="0"/>
        <v>0.54328900000000002</v>
      </c>
      <c r="F30" s="1"/>
      <c r="G30" s="2">
        <v>25.48021</v>
      </c>
      <c r="H30" s="4">
        <v>55.915819725297624</v>
      </c>
      <c r="I30" s="1">
        <v>5.5915819725297631</v>
      </c>
      <c r="K30" s="7">
        <v>108.09439999999999</v>
      </c>
      <c r="L30" s="1">
        <v>7.0662719999999997</v>
      </c>
      <c r="M30" s="6">
        <f t="shared" si="3"/>
        <v>0.43678107402014404</v>
      </c>
      <c r="N30" s="1">
        <f t="shared" si="4"/>
        <v>4.3678107402014409E-2</v>
      </c>
    </row>
    <row r="31" spans="1:14" x14ac:dyDescent="0.2">
      <c r="A31" s="1">
        <v>97.65</v>
      </c>
      <c r="B31" s="1">
        <v>4.9716399999999998</v>
      </c>
      <c r="C31" s="1">
        <f t="shared" si="0"/>
        <v>0.49716399999999999</v>
      </c>
      <c r="F31" s="1"/>
      <c r="G31" s="2">
        <v>29.59301</v>
      </c>
      <c r="H31" s="4">
        <v>8.7338323650732423</v>
      </c>
      <c r="I31" s="1">
        <v>0.8733832365073243</v>
      </c>
      <c r="K31" s="7">
        <v>112.87</v>
      </c>
      <c r="L31" s="1">
        <v>7.0708500000000001</v>
      </c>
      <c r="M31" s="6">
        <f t="shared" si="3"/>
        <v>0.38928459968639928</v>
      </c>
      <c r="N31" s="1">
        <f t="shared" si="4"/>
        <v>3.8928459968639931E-2</v>
      </c>
    </row>
    <row r="32" spans="1:14" x14ac:dyDescent="0.2">
      <c r="A32" s="1">
        <v>103.1</v>
      </c>
      <c r="B32" s="1">
        <v>3.8567399999999998</v>
      </c>
      <c r="C32" s="1">
        <f t="shared" si="0"/>
        <v>0.38567399999999996</v>
      </c>
      <c r="F32" s="1"/>
      <c r="G32" s="2">
        <v>32.499969999999998</v>
      </c>
      <c r="H32" s="4">
        <v>5.826311223217127</v>
      </c>
      <c r="I32" s="1">
        <v>0.58263112232171277</v>
      </c>
      <c r="K32" s="7">
        <v>117.4019</v>
      </c>
      <c r="L32" s="1">
        <v>7.8145150000000001</v>
      </c>
      <c r="M32" s="6">
        <f t="shared" si="3"/>
        <v>0.38905310945825877</v>
      </c>
      <c r="N32" s="1">
        <f t="shared" si="4"/>
        <v>3.8905310945825881E-2</v>
      </c>
    </row>
    <row r="33" spans="1:14" x14ac:dyDescent="0.2">
      <c r="A33" s="1">
        <v>108.1</v>
      </c>
      <c r="B33" s="1">
        <v>2.7850799999999998</v>
      </c>
      <c r="C33" s="1">
        <f t="shared" si="0"/>
        <v>0.27850799999999998</v>
      </c>
      <c r="F33" s="1"/>
      <c r="G33" s="2">
        <v>36.32667</v>
      </c>
      <c r="H33" s="4">
        <v>14.406471644221517</v>
      </c>
      <c r="I33" s="1">
        <v>1.4406471644221517</v>
      </c>
      <c r="K33" s="7">
        <v>121.69499999999999</v>
      </c>
      <c r="L33" s="1">
        <v>8.6361129999999999</v>
      </c>
      <c r="M33" s="6">
        <f t="shared" si="3"/>
        <v>0.39398017688404185</v>
      </c>
      <c r="N33" s="1">
        <f t="shared" si="4"/>
        <v>3.9398017688404188E-2</v>
      </c>
    </row>
    <row r="34" spans="1:14" x14ac:dyDescent="0.2">
      <c r="A34" s="1">
        <v>112.1</v>
      </c>
      <c r="B34" s="1">
        <v>2.20851</v>
      </c>
      <c r="C34" s="1">
        <f t="shared" si="0"/>
        <v>0.22085099999999999</v>
      </c>
      <c r="F34" s="1"/>
      <c r="G34" s="2">
        <v>39.97936</v>
      </c>
      <c r="H34" s="4">
        <v>21.758210640210301</v>
      </c>
      <c r="I34" s="1">
        <v>2.1758210640210303</v>
      </c>
      <c r="K34" s="7">
        <v>126.2287</v>
      </c>
      <c r="L34" s="1">
        <v>9.1952289999999994</v>
      </c>
      <c r="M34" s="6">
        <f t="shared" si="3"/>
        <v>0.38557518791049433</v>
      </c>
      <c r="N34" s="1">
        <f t="shared" si="4"/>
        <v>3.8557518791049433E-2</v>
      </c>
    </row>
    <row r="35" spans="1:14" x14ac:dyDescent="0.2">
      <c r="A35" s="1">
        <v>122.6</v>
      </c>
      <c r="B35" s="1">
        <v>2.1835</v>
      </c>
      <c r="C35" s="1">
        <f t="shared" si="0"/>
        <v>0.21834999999999999</v>
      </c>
      <c r="F35" s="1"/>
      <c r="G35" s="2">
        <v>43.065019999999997</v>
      </c>
      <c r="H35" s="4">
        <v>24.045847139767776</v>
      </c>
      <c r="I35" s="1">
        <v>2.404584713976778</v>
      </c>
      <c r="K35" s="7">
        <v>130.75810000000001</v>
      </c>
      <c r="L35" s="1">
        <v>10.68008</v>
      </c>
      <c r="M35" s="6">
        <f t="shared" si="3"/>
        <v>0.41491553670122799</v>
      </c>
      <c r="N35" s="1">
        <f t="shared" si="4"/>
        <v>4.1491553670122805E-2</v>
      </c>
    </row>
    <row r="36" spans="1:14" x14ac:dyDescent="0.2">
      <c r="A36" s="1">
        <v>126.8</v>
      </c>
      <c r="B36" s="1">
        <v>2.6513900000000001</v>
      </c>
      <c r="C36" s="1">
        <f t="shared" si="0"/>
        <v>0.26513900000000001</v>
      </c>
      <c r="F36" s="1"/>
      <c r="G36" s="2">
        <v>47.127160000000003</v>
      </c>
      <c r="H36" s="4">
        <v>20.0383180492957</v>
      </c>
      <c r="I36" s="1">
        <v>2.00383180492957</v>
      </c>
      <c r="K36" s="7">
        <v>135.52940000000001</v>
      </c>
      <c r="L36" s="1">
        <v>11.65799</v>
      </c>
      <c r="M36" s="6">
        <f t="shared" si="3"/>
        <v>0.42133342941077084</v>
      </c>
      <c r="N36" s="1">
        <f t="shared" si="4"/>
        <v>4.2133342941077088E-2</v>
      </c>
    </row>
    <row r="37" spans="1:14" x14ac:dyDescent="0.2">
      <c r="A37" s="1">
        <v>131.5</v>
      </c>
      <c r="B37" s="1">
        <v>3.1462699999999999</v>
      </c>
      <c r="C37" s="1">
        <f t="shared" si="0"/>
        <v>0.31462699999999999</v>
      </c>
      <c r="F37" s="1"/>
      <c r="G37" s="2">
        <v>50.613819999999997</v>
      </c>
      <c r="H37" s="4">
        <v>15.336260759107846</v>
      </c>
      <c r="I37" s="1">
        <v>1.5336260759107847</v>
      </c>
      <c r="K37" s="7">
        <v>140.06620000000001</v>
      </c>
      <c r="L37" s="1">
        <v>11.66516</v>
      </c>
      <c r="M37" s="6">
        <f t="shared" si="3"/>
        <v>0.39656466449964328</v>
      </c>
      <c r="N37" s="1">
        <f t="shared" si="4"/>
        <v>3.9656466449964331E-2</v>
      </c>
    </row>
    <row r="38" spans="1:14" x14ac:dyDescent="0.2">
      <c r="A38" s="1">
        <v>136.1</v>
      </c>
      <c r="B38" s="1">
        <v>3.1629499999999999</v>
      </c>
      <c r="C38" s="1">
        <f t="shared" si="0"/>
        <v>0.31629499999999999</v>
      </c>
      <c r="F38" s="1"/>
      <c r="G38" s="2">
        <v>54.299349999999997</v>
      </c>
      <c r="H38" s="4">
        <v>10.216592310781401</v>
      </c>
      <c r="I38" s="1">
        <v>1.0216592310781401</v>
      </c>
      <c r="K38" s="7">
        <v>143.6448</v>
      </c>
      <c r="L38" s="1">
        <v>12.41877</v>
      </c>
      <c r="M38" s="6">
        <f t="shared" si="3"/>
        <v>0.40431052535911971</v>
      </c>
      <c r="N38" s="1">
        <f t="shared" si="4"/>
        <v>4.0431052535911977E-2</v>
      </c>
    </row>
    <row r="39" spans="1:14" x14ac:dyDescent="0.2">
      <c r="A39" s="1">
        <v>140.1</v>
      </c>
      <c r="B39" s="1">
        <v>3.1777099999999998</v>
      </c>
      <c r="C39" s="1">
        <f t="shared" si="0"/>
        <v>0.31777099999999997</v>
      </c>
      <c r="F39" s="1"/>
      <c r="G39" s="2">
        <v>57.210999999999999</v>
      </c>
      <c r="H39" s="4">
        <v>7.1012470377252654</v>
      </c>
      <c r="I39" s="1">
        <v>0.71012470377252657</v>
      </c>
      <c r="K39" s="7">
        <v>148.18039999999999</v>
      </c>
      <c r="L39" s="1">
        <v>12.739039999999999</v>
      </c>
      <c r="M39" s="6">
        <f t="shared" si="3"/>
        <v>0.39505117000309359</v>
      </c>
      <c r="N39" s="1">
        <f t="shared" si="4"/>
        <v>3.9505117000309363E-2</v>
      </c>
    </row>
    <row r="40" spans="1:14" x14ac:dyDescent="0.2">
      <c r="A40" s="1">
        <v>144.1</v>
      </c>
      <c r="B40" s="1">
        <v>2.77</v>
      </c>
      <c r="C40" s="1">
        <f t="shared" si="0"/>
        <v>0.27700000000000002</v>
      </c>
      <c r="F40" s="1"/>
      <c r="G40" s="2">
        <v>61.087879999999998</v>
      </c>
      <c r="H40" s="4">
        <v>5.1703099328543267</v>
      </c>
      <c r="I40" s="1">
        <v>0.51703099328543267</v>
      </c>
      <c r="K40" s="7">
        <v>151.76339999999999</v>
      </c>
      <c r="L40" s="1">
        <v>12.432460000000001</v>
      </c>
      <c r="M40" s="6">
        <f t="shared" si="3"/>
        <v>0.37279720767475427</v>
      </c>
      <c r="N40" s="1">
        <f t="shared" si="4"/>
        <v>3.7279720767475426E-2</v>
      </c>
    </row>
    <row r="41" spans="1:14" x14ac:dyDescent="0.2">
      <c r="A41" s="1">
        <v>148.6</v>
      </c>
      <c r="B41" s="1">
        <v>2.4161299999999999</v>
      </c>
      <c r="C41" s="1">
        <f t="shared" si="0"/>
        <v>0.24161299999999999</v>
      </c>
      <c r="F41" s="1"/>
      <c r="G41" s="2">
        <v>63.218620000000001</v>
      </c>
      <c r="H41" s="4">
        <v>4.5715300917043216</v>
      </c>
      <c r="I41" s="1">
        <v>0.45715300917043217</v>
      </c>
      <c r="K41" s="7">
        <v>156.5334</v>
      </c>
      <c r="L41" s="1">
        <v>13.912229999999999</v>
      </c>
      <c r="M41" s="6">
        <f t="shared" si="3"/>
        <v>0.40148599608560209</v>
      </c>
      <c r="N41" s="1">
        <f t="shared" si="4"/>
        <v>4.0148599608560209E-2</v>
      </c>
    </row>
    <row r="42" spans="1:14" x14ac:dyDescent="0.2">
      <c r="A42" s="1">
        <v>152.69999999999999</v>
      </c>
      <c r="B42" s="1">
        <v>2.0087899999999999</v>
      </c>
      <c r="C42" s="1">
        <f t="shared" si="0"/>
        <v>0.20087899999999997</v>
      </c>
      <c r="F42" s="1"/>
      <c r="G42" s="2">
        <v>70.953630000000004</v>
      </c>
      <c r="H42" s="4">
        <v>4.4097010295439887</v>
      </c>
      <c r="I42" s="1">
        <v>0.44097010295439887</v>
      </c>
      <c r="K42" s="7">
        <v>160.1095</v>
      </c>
      <c r="L42" s="1">
        <v>15.56561</v>
      </c>
      <c r="M42" s="6">
        <f t="shared" si="3"/>
        <v>0.43855562287678312</v>
      </c>
      <c r="N42" s="1">
        <f t="shared" si="4"/>
        <v>4.3855562287678312E-2</v>
      </c>
    </row>
    <row r="43" spans="1:14" x14ac:dyDescent="0.2">
      <c r="A43" s="1">
        <v>157.19999999999999</v>
      </c>
      <c r="B43" s="1">
        <v>2.0194399999999999</v>
      </c>
      <c r="C43" s="1">
        <f t="shared" si="0"/>
        <v>0.20194399999999998</v>
      </c>
      <c r="F43" s="1"/>
      <c r="G43" s="2">
        <v>77.728560000000002</v>
      </c>
      <c r="H43" s="4">
        <v>3.6878772398728397</v>
      </c>
      <c r="I43" s="1">
        <v>0.36878772398728399</v>
      </c>
      <c r="K43" s="7">
        <v>164.6352</v>
      </c>
      <c r="L43" s="1">
        <v>19.478280000000002</v>
      </c>
      <c r="M43" s="6">
        <f t="shared" si="3"/>
        <v>0.53545696113894881</v>
      </c>
      <c r="N43" s="1">
        <f t="shared" si="4"/>
        <v>5.3545696113894883E-2</v>
      </c>
    </row>
    <row r="44" spans="1:14" x14ac:dyDescent="0.2">
      <c r="A44" s="1">
        <v>160.30000000000001</v>
      </c>
      <c r="B44" s="1">
        <v>1.88784</v>
      </c>
      <c r="C44" s="1">
        <f t="shared" si="0"/>
        <v>0.18878400000000001</v>
      </c>
      <c r="F44" s="1"/>
      <c r="G44" s="1"/>
      <c r="K44" s="7">
        <v>168.21129999999999</v>
      </c>
      <c r="L44" s="1">
        <v>21.79316</v>
      </c>
      <c r="M44" s="6">
        <f t="shared" si="3"/>
        <v>0.59020532595228037</v>
      </c>
      <c r="N44" s="1">
        <f t="shared" si="4"/>
        <v>5.9020532595228041E-2</v>
      </c>
    </row>
    <row r="45" spans="1:14" x14ac:dyDescent="0.2">
      <c r="F45" s="1"/>
      <c r="G45" s="1"/>
    </row>
    <row r="46" spans="1:14" x14ac:dyDescent="0.2">
      <c r="F46" s="1"/>
      <c r="G46" s="1"/>
    </row>
    <row r="47" spans="1:14" x14ac:dyDescent="0.2">
      <c r="F47" s="1"/>
      <c r="G47" s="1"/>
      <c r="K47" s="7">
        <v>24.31889</v>
      </c>
      <c r="L47" s="6">
        <v>45.292703188363468</v>
      </c>
      <c r="M47" s="5">
        <v>4.529270318836347</v>
      </c>
    </row>
    <row r="48" spans="1:14" x14ac:dyDescent="0.2">
      <c r="K48" s="7">
        <v>26.457979999999999</v>
      </c>
      <c r="L48" s="6">
        <v>39.667035828523922</v>
      </c>
      <c r="M48" s="5">
        <v>3.9667035828523924</v>
      </c>
    </row>
    <row r="49" spans="11:13" x14ac:dyDescent="0.2">
      <c r="K49" s="7">
        <v>28.370090000000001</v>
      </c>
      <c r="L49" s="6">
        <v>29.07087194970331</v>
      </c>
      <c r="M49" s="5">
        <v>2.9070871949703312</v>
      </c>
    </row>
    <row r="50" spans="11:13" x14ac:dyDescent="0.2">
      <c r="K50" s="7">
        <v>31.481079999999999</v>
      </c>
      <c r="L50" s="6">
        <v>16.891021126959473</v>
      </c>
      <c r="M50" s="5">
        <v>1.6891021126959473</v>
      </c>
    </row>
    <row r="51" spans="11:13" x14ac:dyDescent="0.2">
      <c r="K51" s="7">
        <v>33.646259999999998</v>
      </c>
      <c r="L51" s="6">
        <v>9.4422674745630513</v>
      </c>
      <c r="M51" s="5">
        <v>0.94422674745630519</v>
      </c>
    </row>
    <row r="52" spans="11:13" x14ac:dyDescent="0.2">
      <c r="K52" s="7">
        <v>36.524059999999999</v>
      </c>
      <c r="L52" s="6">
        <v>5.3609802798280111</v>
      </c>
      <c r="M52" s="5">
        <v>0.53609802798280115</v>
      </c>
    </row>
    <row r="53" spans="11:13" x14ac:dyDescent="0.2">
      <c r="K53" s="7">
        <v>39.171770000000002</v>
      </c>
      <c r="L53" s="6">
        <v>2.6842681715221368</v>
      </c>
      <c r="M53" s="5">
        <v>0.26842681715221367</v>
      </c>
    </row>
    <row r="54" spans="11:13" x14ac:dyDescent="0.2">
      <c r="K54" s="7">
        <v>41.341920000000002</v>
      </c>
      <c r="L54" s="6">
        <v>1.4312645078590498</v>
      </c>
      <c r="M54" s="5">
        <v>0.143126450785905</v>
      </c>
    </row>
    <row r="55" spans="11:13" x14ac:dyDescent="0.2">
      <c r="K55" s="7">
        <v>43.497790000000002</v>
      </c>
      <c r="L55" s="6">
        <v>1.028624677085721</v>
      </c>
      <c r="M55" s="5">
        <v>0.1028624677085721</v>
      </c>
    </row>
    <row r="56" spans="11:13" x14ac:dyDescent="0.2">
      <c r="K56" s="7">
        <v>46.351979999999998</v>
      </c>
      <c r="L56" s="6">
        <v>1.0112205189180559</v>
      </c>
      <c r="M56" s="5">
        <v>0.10112205189180559</v>
      </c>
    </row>
    <row r="57" spans="11:13" x14ac:dyDescent="0.2">
      <c r="K57" s="7">
        <v>48.959310000000002</v>
      </c>
      <c r="L57" s="6">
        <v>1.209839849167798</v>
      </c>
      <c r="M57" s="5">
        <v>0.12098398491677981</v>
      </c>
    </row>
    <row r="58" spans="11:13" x14ac:dyDescent="0.2">
      <c r="K58" s="7">
        <v>51.090949999999999</v>
      </c>
      <c r="L58" s="6">
        <v>1.4609960441540177</v>
      </c>
      <c r="M58" s="5">
        <v>0.14609960441540179</v>
      </c>
    </row>
    <row r="59" spans="11:13" x14ac:dyDescent="0.2">
      <c r="K59" s="7">
        <v>52.745019999999997</v>
      </c>
      <c r="L59" s="6">
        <v>1.8378266235543066</v>
      </c>
      <c r="M59" s="5">
        <v>0.18378266235543067</v>
      </c>
    </row>
    <row r="60" spans="11:13" x14ac:dyDescent="0.2">
      <c r="K60" s="7">
        <v>53.69455</v>
      </c>
      <c r="L60" s="6">
        <v>1.9239037252494973</v>
      </c>
      <c r="M60" s="5">
        <v>0.19239037252494973</v>
      </c>
    </row>
    <row r="61" spans="11:13" x14ac:dyDescent="0.2">
      <c r="K61" s="7">
        <v>55.361049999999999</v>
      </c>
      <c r="L61" s="6">
        <v>1.8985118082268233</v>
      </c>
      <c r="M61" s="5">
        <v>0.18985118082268235</v>
      </c>
    </row>
    <row r="62" spans="11:13" x14ac:dyDescent="0.2">
      <c r="K62" s="7">
        <v>57.498280000000001</v>
      </c>
      <c r="L62" s="6">
        <v>2.0924307803667759</v>
      </c>
      <c r="M62" s="5">
        <v>0.2092430780366776</v>
      </c>
    </row>
    <row r="63" spans="11:13" x14ac:dyDescent="0.2">
      <c r="K63" s="7">
        <v>59.640470000000001</v>
      </c>
      <c r="L63" s="6">
        <v>2.0999457332461113</v>
      </c>
      <c r="M63" s="5">
        <v>0.20999457332461113</v>
      </c>
    </row>
    <row r="64" spans="11:13" x14ac:dyDescent="0.2">
      <c r="K64" s="7">
        <v>61.54824</v>
      </c>
      <c r="L64" s="6">
        <v>1.9696716348156202</v>
      </c>
      <c r="M64" s="5">
        <v>0.19696716348156204</v>
      </c>
    </row>
    <row r="65" spans="11:13" x14ac:dyDescent="0.2">
      <c r="K65" s="7">
        <v>66.081969999999998</v>
      </c>
      <c r="L65" s="6">
        <v>1.626244209378602</v>
      </c>
      <c r="M65" s="5">
        <v>0.16262442093786023</v>
      </c>
    </row>
    <row r="66" spans="11:13" x14ac:dyDescent="0.2">
      <c r="K66" s="7">
        <v>71.578289999999996</v>
      </c>
      <c r="L66" s="6">
        <v>1.1272738828291429</v>
      </c>
      <c r="M66" s="5">
        <v>0.11272738828291429</v>
      </c>
    </row>
    <row r="67" spans="11:13" x14ac:dyDescent="0.2">
      <c r="K67" s="7">
        <v>76.363849999999999</v>
      </c>
      <c r="L67" s="6">
        <v>0.7406348274004414</v>
      </c>
      <c r="M67" s="5">
        <v>7.4063482740044137E-2</v>
      </c>
    </row>
    <row r="68" spans="11:13" x14ac:dyDescent="0.2">
      <c r="K68" s="7">
        <v>82.338340000000002</v>
      </c>
      <c r="L68" s="6">
        <v>0.52181947542192431</v>
      </c>
      <c r="M68" s="5">
        <v>5.2181947542192436E-2</v>
      </c>
    </row>
    <row r="69" spans="11:13" x14ac:dyDescent="0.2">
      <c r="K69" s="7">
        <v>87.345910000000003</v>
      </c>
      <c r="L69" s="6">
        <v>0.49435717969438292</v>
      </c>
      <c r="M69" s="5">
        <v>4.9435717969438298E-2</v>
      </c>
    </row>
    <row r="70" spans="11:13" x14ac:dyDescent="0.2">
      <c r="K70" s="7">
        <v>92.350380000000001</v>
      </c>
      <c r="L70" s="6">
        <v>0.50646406056903714</v>
      </c>
      <c r="M70" s="5">
        <v>5.0646406056903716E-2</v>
      </c>
    </row>
    <row r="71" spans="11:13" x14ac:dyDescent="0.2">
      <c r="K71" s="7">
        <v>97.594239999999999</v>
      </c>
      <c r="L71" s="6">
        <v>0.51625164089418818</v>
      </c>
      <c r="M71" s="5">
        <v>5.1625164089418821E-2</v>
      </c>
    </row>
    <row r="72" spans="11:13" x14ac:dyDescent="0.2">
      <c r="K72" s="7">
        <v>103.08369999999999</v>
      </c>
      <c r="L72" s="6">
        <v>0.46270708457600812</v>
      </c>
      <c r="M72" s="5">
        <v>4.6270708457600812E-2</v>
      </c>
    </row>
    <row r="73" spans="11:13" x14ac:dyDescent="0.2">
      <c r="K73" s="7">
        <v>108.09439999999999</v>
      </c>
      <c r="L73" s="6">
        <v>0.43678107402014404</v>
      </c>
      <c r="M73" s="5">
        <v>4.3678107402014409E-2</v>
      </c>
    </row>
    <row r="74" spans="11:13" x14ac:dyDescent="0.2">
      <c r="K74" s="7">
        <v>112.87</v>
      </c>
      <c r="L74" s="6">
        <v>0.38928459968639928</v>
      </c>
      <c r="M74" s="5">
        <v>3.8928459968639931E-2</v>
      </c>
    </row>
    <row r="75" spans="11:13" x14ac:dyDescent="0.2">
      <c r="K75" s="7">
        <v>117.4019</v>
      </c>
      <c r="L75" s="6">
        <v>0.38905310945825877</v>
      </c>
      <c r="M75" s="5">
        <v>3.8905310945825881E-2</v>
      </c>
    </row>
    <row r="76" spans="11:13" x14ac:dyDescent="0.2">
      <c r="K76" s="7">
        <v>121.69499999999999</v>
      </c>
      <c r="L76" s="6">
        <v>0.39398017688404185</v>
      </c>
      <c r="M76" s="5">
        <v>3.9398017688404188E-2</v>
      </c>
    </row>
    <row r="77" spans="11:13" x14ac:dyDescent="0.2">
      <c r="K77" s="7">
        <v>126.2287</v>
      </c>
      <c r="L77" s="6">
        <v>0.38557518791049433</v>
      </c>
      <c r="M77" s="5">
        <v>3.8557518791049433E-2</v>
      </c>
    </row>
    <row r="78" spans="11:13" x14ac:dyDescent="0.2">
      <c r="K78" s="7">
        <v>130.75810000000001</v>
      </c>
      <c r="L78" s="6">
        <v>0.41491553670122799</v>
      </c>
      <c r="M78" s="5">
        <v>4.1491553670122805E-2</v>
      </c>
    </row>
    <row r="79" spans="11:13" x14ac:dyDescent="0.2">
      <c r="K79" s="7">
        <v>135.52940000000001</v>
      </c>
      <c r="L79" s="6">
        <v>0.42133342941077084</v>
      </c>
      <c r="M79" s="5">
        <v>4.2133342941077088E-2</v>
      </c>
    </row>
    <row r="80" spans="11:13" x14ac:dyDescent="0.2">
      <c r="K80" s="7">
        <v>140.06620000000001</v>
      </c>
      <c r="L80" s="6">
        <v>0.39656466449964328</v>
      </c>
      <c r="M80" s="5">
        <v>3.9656466449964331E-2</v>
      </c>
    </row>
    <row r="81" spans="11:13" x14ac:dyDescent="0.2">
      <c r="K81" s="7">
        <v>143.6448</v>
      </c>
      <c r="L81" s="6">
        <v>0.40431052535911971</v>
      </c>
      <c r="M81" s="5">
        <v>4.0431052535911977E-2</v>
      </c>
    </row>
    <row r="82" spans="11:13" x14ac:dyDescent="0.2">
      <c r="K82" s="7">
        <v>148.18039999999999</v>
      </c>
      <c r="L82" s="6">
        <v>0.39505117000309359</v>
      </c>
      <c r="M82" s="5">
        <v>3.9505117000309363E-2</v>
      </c>
    </row>
    <row r="83" spans="11:13" x14ac:dyDescent="0.2">
      <c r="K83" s="7">
        <v>151.76339999999999</v>
      </c>
      <c r="L83" s="6">
        <v>0.37279720767475427</v>
      </c>
      <c r="M83" s="5">
        <v>3.7279720767475426E-2</v>
      </c>
    </row>
    <row r="84" spans="11:13" x14ac:dyDescent="0.2">
      <c r="K84" s="7">
        <v>156.5334</v>
      </c>
      <c r="L84" s="6">
        <v>0.40148599608560209</v>
      </c>
      <c r="M84" s="5">
        <v>4.0148599608560209E-2</v>
      </c>
    </row>
    <row r="85" spans="11:13" x14ac:dyDescent="0.2">
      <c r="K85" s="7">
        <v>160.1095</v>
      </c>
      <c r="L85" s="6">
        <v>0.43855562287678312</v>
      </c>
      <c r="M85" s="5">
        <v>4.3855562287678312E-2</v>
      </c>
    </row>
    <row r="86" spans="11:13" x14ac:dyDescent="0.2">
      <c r="K86" s="7">
        <v>164.6352</v>
      </c>
      <c r="L86" s="6">
        <v>0.53545696113894881</v>
      </c>
      <c r="M86" s="5">
        <v>5.3545696113894883E-2</v>
      </c>
    </row>
    <row r="87" spans="11:13" x14ac:dyDescent="0.2">
      <c r="K87" s="7">
        <v>168.21129999999999</v>
      </c>
      <c r="L87" s="6">
        <v>0.59020532595228037</v>
      </c>
      <c r="M87" s="5">
        <v>5.9020532595228041E-2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пользователь Microsoft Office</cp:lastModifiedBy>
  <dcterms:created xsi:type="dcterms:W3CDTF">2017-12-20T23:02:18Z</dcterms:created>
  <dcterms:modified xsi:type="dcterms:W3CDTF">2017-12-21T10:44:08Z</dcterms:modified>
</cp:coreProperties>
</file>